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ccap\Documents\SideProjects\Bingo\"/>
    </mc:Choice>
  </mc:AlternateContent>
  <xr:revisionPtr revIDLastSave="0" documentId="13_ncr:1_{FCAE117B-FECD-476D-92FB-22C00AB0975A}" xr6:coauthVersionLast="45" xr6:coauthVersionMax="45" xr10:uidLastSave="{00000000-0000-0000-0000-000000000000}"/>
  <bookViews>
    <workbookView xWindow="-120" yWindow="-120" windowWidth="20730" windowHeight="11160" xr2:uid="{9F0EFA32-AEE8-42B5-9347-BF12AD4988E4}"/>
  </bookViews>
  <sheets>
    <sheet name="main" sheetId="1" r:id="rId1"/>
    <sheet name="calls" sheetId="2" r:id="rId2"/>
    <sheet name="list_of_card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6" i="1" l="1"/>
  <c r="O8" i="1"/>
  <c r="O10" i="1"/>
  <c r="P4" i="1"/>
  <c r="P6" i="1"/>
  <c r="P8" i="1"/>
  <c r="P10" i="1"/>
  <c r="P2" i="1"/>
  <c r="O4" i="1"/>
  <c r="O2" i="1"/>
  <c r="N10" i="1"/>
  <c r="N8" i="1"/>
  <c r="N4" i="1"/>
  <c r="N2" i="1"/>
  <c r="M4" i="1"/>
  <c r="M6" i="1"/>
  <c r="M8" i="1"/>
  <c r="M10" i="1"/>
  <c r="M2" i="1"/>
  <c r="L4" i="1"/>
  <c r="L6" i="1"/>
  <c r="L8" i="1"/>
  <c r="L10" i="1"/>
  <c r="L2" i="1"/>
</calcChain>
</file>

<file path=xl/sharedStrings.xml><?xml version="1.0" encoding="utf-8"?>
<sst xmlns="http://schemas.openxmlformats.org/spreadsheetml/2006/main" count="22" uniqueCount="16">
  <si>
    <t>uncalled</t>
  </si>
  <si>
    <t>called</t>
  </si>
  <si>
    <t>B</t>
  </si>
  <si>
    <t>I</t>
  </si>
  <si>
    <t>N</t>
  </si>
  <si>
    <t>G</t>
  </si>
  <si>
    <t>O</t>
  </si>
  <si>
    <t>remaining</t>
  </si>
  <si>
    <t>I21</t>
  </si>
  <si>
    <t>FREE</t>
  </si>
  <si>
    <t>&lt;&lt; view card &gt;&gt;</t>
  </si>
  <si>
    <t>Last Number:</t>
  </si>
  <si>
    <t>72fbb2e3821b-a586af9ffe98</t>
  </si>
  <si>
    <t>David</t>
  </si>
  <si>
    <t>Michael</t>
  </si>
  <si>
    <t>4c4a2a2683ba-9aeb529c6e35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</si>
</sst>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/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4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5" fillId="0" borderId="6" xfId="0" applyFont="1" applyBorder="1" applyAlignment="1">
      <alignment horizontal="center" vertical="center"/>
    </xf>
    <xf numFmtId="0" fontId="0" fillId="0" borderId="7" xfId="0" applyBorder="1"/>
    <xf numFmtId="0" fontId="0" fillId="0" borderId="9" xfId="0" applyBorder="1"/>
    <xf numFmtId="0" fontId="0" fillId="3" borderId="8" xfId="0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top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5" fillId="0" borderId="16" xfId="0" applyFont="1" applyBorder="1" applyAlignment="1">
      <alignment horizontal="center" vertical="center"/>
    </xf>
    <xf numFmtId="0" fontId="0" fillId="0" borderId="15" xfId="0" applyBorder="1"/>
    <xf numFmtId="0" fontId="2" fillId="0" borderId="17" xfId="0" applyFont="1" applyBorder="1" applyAlignment="1">
      <alignment horizontal="center" vertical="top"/>
    </xf>
    <xf numFmtId="0" fontId="2" fillId="0" borderId="18" xfId="0" applyFont="1" applyBorder="1" applyAlignment="1">
      <alignment horizontal="center" vertical="top"/>
    </xf>
    <xf numFmtId="0" fontId="2" fillId="0" borderId="19" xfId="0" applyFont="1" applyBorder="1" applyAlignment="1">
      <alignment horizontal="center" vertical="top"/>
    </xf>
    <xf numFmtId="0" fontId="2" fillId="0" borderId="20" xfId="0" applyFont="1" applyBorder="1" applyAlignment="1">
      <alignment horizontal="center" vertical="top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</cellXfs>
  <cellStyles count="1">
    <cellStyle name="Normal" xfId="0" builtinId="0"/>
  </cellStyles>
  <dxfs count="2">
    <dxf>
      <font>
        <b/>
        <i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0</xdr:row>
          <xdr:rowOff>171451</xdr:rowOff>
        </xdr:from>
        <xdr:to>
          <xdr:col>10</xdr:col>
          <xdr:colOff>190500</xdr:colOff>
          <xdr:row>2</xdr:row>
          <xdr:rowOff>180976</xdr:rowOff>
        </xdr:to>
        <xdr:sp macro="" textlink="">
          <xdr:nvSpPr>
            <xdr:cNvPr id="1027" name="Draw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79069346-E19E-44F4-A9C1-4440DFC929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12</xdr:row>
          <xdr:rowOff>152400</xdr:rowOff>
        </xdr:from>
        <xdr:to>
          <xdr:col>15</xdr:col>
          <xdr:colOff>76200</xdr:colOff>
          <xdr:row>14</xdr:row>
          <xdr:rowOff>133350</xdr:rowOff>
        </xdr:to>
        <xdr:sp macro="" textlink="">
          <xdr:nvSpPr>
            <xdr:cNvPr id="1028" name="Reset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9CF3A742-B6D4-440A-A269-03DE920CA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190499</xdr:colOff>
      <xdr:row>6</xdr:row>
      <xdr:rowOff>190499</xdr:rowOff>
    </xdr:from>
    <xdr:to>
      <xdr:col>10</xdr:col>
      <xdr:colOff>0</xdr:colOff>
      <xdr:row>16</xdr:row>
      <xdr:rowOff>99364</xdr:rowOff>
    </xdr:to>
    <xdr:pic>
      <xdr:nvPicPr>
        <xdr:cNvPr id="11" name="Picture 10" descr="Special Olympics Trumbull - Home | Facebook">
          <a:extLst>
            <a:ext uri="{FF2B5EF4-FFF2-40B4-BE49-F238E27FC236}">
              <a16:creationId xmlns:a16="http://schemas.microsoft.com/office/drawing/2014/main" id="{FCFD86C2-6BB2-41F6-8032-842D62321E8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1" t="15580" r="10145" b="16667"/>
        <a:stretch/>
      </xdr:blipFill>
      <xdr:spPr bwMode="auto">
        <a:xfrm>
          <a:off x="2895599" y="1724024"/>
          <a:ext cx="2619376" cy="22996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A2FD1-C89E-4CF3-A58F-45D2EE6B5EB7}">
  <sheetPr codeName="Sheet1"/>
  <dimension ref="A1:AF35"/>
  <sheetViews>
    <sheetView tabSelected="1" zoomScaleNormal="100" workbookViewId="0">
      <selection activeCell="I5" sqref="I5:J5"/>
    </sheetView>
  </sheetViews>
  <sheetFormatPr defaultRowHeight="15" x14ac:dyDescent="0.25"/>
  <cols>
    <col min="1" max="5" width="6.28515625" customWidth="1"/>
    <col min="7" max="7" width="12.85546875" customWidth="1"/>
    <col min="9" max="9" width="11" customWidth="1"/>
    <col min="12" max="16" width="7.7109375" customWidth="1"/>
  </cols>
  <sheetData>
    <row r="1" spans="1:32" ht="27" thickBot="1" x14ac:dyDescent="0.3">
      <c r="A1" s="11" t="s">
        <v>2</v>
      </c>
      <c r="B1" s="11" t="s">
        <v>3</v>
      </c>
      <c r="C1" s="11" t="s">
        <v>4</v>
      </c>
      <c r="D1" s="11" t="s">
        <v>5</v>
      </c>
      <c r="E1" s="18" t="s">
        <v>6</v>
      </c>
      <c r="F1" s="6"/>
      <c r="G1" s="17" t="s">
        <v>11</v>
      </c>
      <c r="H1" s="4"/>
      <c r="I1" s="3"/>
      <c r="J1" s="3"/>
      <c r="K1" s="8"/>
      <c r="L1" s="19" t="s">
        <v>2</v>
      </c>
      <c r="M1" s="20" t="s">
        <v>3</v>
      </c>
      <c r="N1" s="20" t="s">
        <v>4</v>
      </c>
      <c r="O1" s="20" t="s">
        <v>5</v>
      </c>
      <c r="P1" s="21" t="s">
        <v>6</v>
      </c>
      <c r="Q1" s="4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ht="18.75" customHeight="1" x14ac:dyDescent="0.3">
      <c r="A2" s="12">
        <v>1</v>
      </c>
      <c r="B2" s="15">
        <v>16</v>
      </c>
      <c r="C2" s="15">
        <v>31</v>
      </c>
      <c r="D2" s="15">
        <v>46</v>
      </c>
      <c r="E2" s="15">
        <v>61</v>
      </c>
      <c r="F2" s="6"/>
      <c r="G2" s="16" t="s">
        <v>8</v>
      </c>
      <c r="H2" s="4"/>
      <c r="I2" s="3"/>
      <c r="J2" s="3"/>
      <c r="K2" s="8"/>
      <c r="L2" s="22">
        <f>IF($I$5="&lt;&lt; view card &gt;&gt;", "", HEX2DEC(MID(INDEX(list_of_cards!$B:$B, MATCH($I$5, list_of_cards!$A:$A)), COLUMN()-11+(ROW()/2-1)*5, 1)))</f>
        <v>7</v>
      </c>
      <c r="M2" s="23">
        <f>IF($I$5="&lt;&lt; view card &gt;&gt;", "", HEX2DEC(MID(INDEX(list_of_cards!$B:$B, MATCH($I$5, list_of_cards!$A:$A)), COLUMN()-11+(ROW()/2-1)*5, 1))+15)</f>
        <v>17</v>
      </c>
      <c r="N2" s="23">
        <f>IF($I$5="&lt;&lt; view card &gt;&gt;", "", HEX2DEC(MID(INDEX(list_of_cards!$B:$B, MATCH($I$5, list_of_cards!$A:$A)), COLUMN()-11+(ROW()/2-1)*5, 1))+30)</f>
        <v>45</v>
      </c>
      <c r="O2" s="23">
        <f>IF($I$5="&lt;&lt; view card &gt;&gt;", "", HEX2DEC(MID(INDEX(list_of_cards!$B:$B, MATCH($I$5, list_of_cards!$A:$A)), COLUMN()-11+(ROW()/2-1)*5, 1))+45)</f>
        <v>56</v>
      </c>
      <c r="P2" s="24">
        <f>IF($I$5="&lt;&lt; view card &gt;&gt;", "", HEX2DEC(MID(INDEX(list_of_cards!$B:$B, MATCH($I$5, list_of_cards!$A:$A)), COLUMN()-11+(ROW()/2-1)*5, 1))+60)</f>
        <v>71</v>
      </c>
      <c r="Q2" s="4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</row>
    <row r="3" spans="1:32" ht="18.75" customHeight="1" thickBot="1" x14ac:dyDescent="0.35">
      <c r="A3" s="13">
        <v>2</v>
      </c>
      <c r="B3" s="13">
        <v>17</v>
      </c>
      <c r="C3" s="13">
        <v>32</v>
      </c>
      <c r="D3" s="13">
        <v>47</v>
      </c>
      <c r="E3" s="13">
        <v>62</v>
      </c>
      <c r="F3" s="6"/>
      <c r="G3" s="7"/>
      <c r="H3" s="4"/>
      <c r="I3" s="3"/>
      <c r="J3" s="3"/>
      <c r="K3" s="8"/>
      <c r="L3" s="25"/>
      <c r="M3" s="1"/>
      <c r="N3" s="1"/>
      <c r="O3" s="1"/>
      <c r="P3" s="26"/>
      <c r="Q3" s="4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</row>
    <row r="4" spans="1:32" ht="18.75" customHeight="1" x14ac:dyDescent="0.3">
      <c r="A4" s="13">
        <v>3</v>
      </c>
      <c r="B4" s="13">
        <v>18</v>
      </c>
      <c r="C4" s="13">
        <v>33</v>
      </c>
      <c r="D4" s="13">
        <v>48</v>
      </c>
      <c r="E4" s="13">
        <v>63</v>
      </c>
      <c r="F4" s="4"/>
      <c r="G4" s="5"/>
      <c r="H4" s="3"/>
      <c r="I4" s="3"/>
      <c r="J4" s="3"/>
      <c r="K4" s="8"/>
      <c r="L4" s="25">
        <f>IF($I$5="&lt;&lt; view card &gt;&gt;", "", HEX2DEC(MID(INDEX(list_of_cards!$B:$B, MATCH($I$5, list_of_cards!$A:$A)), COLUMN()-11+(ROW()/2-1)*5, 1)))</f>
        <v>2</v>
      </c>
      <c r="M4" s="1">
        <f>IF($I$5="&lt;&lt; view card &gt;&gt;", "", HEX2DEC(MID(INDEX(list_of_cards!$B:$B, MATCH($I$5, list_of_cards!$A:$A)), COLUMN()-11+(ROW()/2-1)*5, 1))+15)</f>
        <v>29</v>
      </c>
      <c r="N4" s="1">
        <f>IF($I$5="&lt;&lt; view card &gt;&gt;", "", HEX2DEC(MID(INDEX(list_of_cards!$B:$B, MATCH($I$5, list_of_cards!$A:$A)), COLUMN()-11+(ROW()/2-1)*5, 1))+30)</f>
        <v>33</v>
      </c>
      <c r="O4" s="1">
        <f>IF($I$5="&lt;&lt; view card &gt;&gt;", "", HEX2DEC(MID(INDEX(list_of_cards!$B:$B, MATCH($I$5, list_of_cards!$A:$A)), COLUMN()-11+(ROW()/2-1)*5, 1))+45)</f>
        <v>53</v>
      </c>
      <c r="P4" s="26">
        <f>IF($I$5="&lt;&lt; view card &gt;&gt;", "", HEX2DEC(MID(INDEX(list_of_cards!$B:$B, MATCH($I$5, list_of_cards!$A:$A)), COLUMN()-11+(ROW()/2-1)*5, 1))+60)</f>
        <v>62</v>
      </c>
      <c r="Q4" s="4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</row>
    <row r="5" spans="1:32" ht="18.75" customHeight="1" x14ac:dyDescent="0.3">
      <c r="A5" s="13">
        <v>4</v>
      </c>
      <c r="B5" s="13">
        <v>19</v>
      </c>
      <c r="C5" s="13">
        <v>34</v>
      </c>
      <c r="D5" s="13">
        <v>49</v>
      </c>
      <c r="E5" s="13">
        <v>64</v>
      </c>
      <c r="F5" s="4"/>
      <c r="G5" s="3"/>
      <c r="H5" s="3"/>
      <c r="I5" s="10" t="s">
        <v>13</v>
      </c>
      <c r="J5" s="10"/>
      <c r="K5" s="8"/>
      <c r="L5" s="25"/>
      <c r="M5" s="1"/>
      <c r="N5" s="1"/>
      <c r="O5" s="1"/>
      <c r="P5" s="26"/>
      <c r="Q5" s="4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</row>
    <row r="6" spans="1:32" ht="18.75" customHeight="1" x14ac:dyDescent="0.3">
      <c r="A6" s="13">
        <v>5</v>
      </c>
      <c r="B6" s="13">
        <v>20</v>
      </c>
      <c r="C6" s="13">
        <v>35</v>
      </c>
      <c r="D6" s="13">
        <v>50</v>
      </c>
      <c r="E6" s="13">
        <v>65</v>
      </c>
      <c r="F6" s="4"/>
      <c r="G6" s="3"/>
      <c r="H6" s="3"/>
      <c r="I6" s="9"/>
      <c r="J6" s="9"/>
      <c r="K6" s="8"/>
      <c r="L6" s="25">
        <f>IF($I$5="&lt;&lt; view card &gt;&gt;", "", HEX2DEC(MID(INDEX(list_of_cards!$B:$B, MATCH($I$5, list_of_cards!$A:$A)), COLUMN()-11+(ROW()/2-1)*5, 1)))</f>
        <v>1</v>
      </c>
      <c r="M6" s="1">
        <f>IF($I$5="&lt;&lt; view card &gt;&gt;", "", HEX2DEC(MID(INDEX(list_of_cards!$B:$B, MATCH($I$5, list_of_cards!$A:$A)), COLUMN()-11+(ROW()/2-1)*5, 1))+15)</f>
        <v>26</v>
      </c>
      <c r="N6" s="2" t="s">
        <v>9</v>
      </c>
      <c r="O6" s="1">
        <f>IF($I$5="&lt;&lt; view card &gt;&gt;", "", HEX2DEC(MID(INDEX(list_of_cards!$B:$B, MATCH($I$5, list_of_cards!$A:$A)), COLUMN()-11+(ROW()/2-1)*5, 1))+45)</f>
        <v>55</v>
      </c>
      <c r="P6" s="26">
        <f>IF($I$5="&lt;&lt; view card &gt;&gt;", "", HEX2DEC(MID(INDEX(list_of_cards!$B:$B, MATCH($I$5, list_of_cards!$A:$A)), COLUMN()-11+(ROW()/2-1)*5, 1))+60)</f>
        <v>65</v>
      </c>
      <c r="Q6" s="4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</row>
    <row r="7" spans="1:32" ht="18.75" customHeight="1" x14ac:dyDescent="0.3">
      <c r="A7" s="13">
        <v>6</v>
      </c>
      <c r="B7" s="13">
        <v>21</v>
      </c>
      <c r="C7" s="13">
        <v>36</v>
      </c>
      <c r="D7" s="13">
        <v>51</v>
      </c>
      <c r="E7" s="13">
        <v>66</v>
      </c>
      <c r="F7" s="4"/>
      <c r="G7" s="3"/>
      <c r="H7" s="8"/>
      <c r="I7" s="8"/>
      <c r="J7" s="3"/>
      <c r="K7" s="6"/>
      <c r="L7" s="25"/>
      <c r="M7" s="1"/>
      <c r="N7" s="2"/>
      <c r="O7" s="1"/>
      <c r="P7" s="26"/>
      <c r="Q7" s="4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</row>
    <row r="8" spans="1:32" ht="18.75" customHeight="1" x14ac:dyDescent="0.3">
      <c r="A8" s="13">
        <v>7</v>
      </c>
      <c r="B8" s="13">
        <v>22</v>
      </c>
      <c r="C8" s="13">
        <v>37</v>
      </c>
      <c r="D8" s="13">
        <v>52</v>
      </c>
      <c r="E8" s="13">
        <v>67</v>
      </c>
      <c r="F8" s="4"/>
      <c r="G8" s="3"/>
      <c r="H8" s="3"/>
      <c r="I8" s="5"/>
      <c r="J8" s="5"/>
      <c r="K8" s="8"/>
      <c r="L8" s="25">
        <f>IF($I$5="&lt;&lt; view card &gt;&gt;", "", HEX2DEC(MID(INDEX(list_of_cards!$B:$B, MATCH($I$5, list_of_cards!$A:$A)), COLUMN()-11+(ROW()/2-1)*5, 1)))</f>
        <v>8</v>
      </c>
      <c r="M8" s="1">
        <f>IF($I$5="&lt;&lt; view card &gt;&gt;", "", HEX2DEC(MID(INDEX(list_of_cards!$B:$B, MATCH($I$5, list_of_cards!$A:$A)), COLUMN()-11+(ROW()/2-1)*5, 1))+15)</f>
        <v>21</v>
      </c>
      <c r="N8" s="1">
        <f>IF($I$5="&lt;&lt; view card &gt;&gt;", "", HEX2DEC(MID(INDEX(list_of_cards!$B:$B, MATCH($I$5, list_of_cards!$A:$A)), COLUMN()-11+(ROW()/2-1)*5, 1))+30)</f>
        <v>40</v>
      </c>
      <c r="O8" s="1">
        <f>IF($I$5="&lt;&lt; view card &gt;&gt;", "", HEX2DEC(MID(INDEX(list_of_cards!$B:$B, MATCH($I$5, list_of_cards!$A:$A)), COLUMN()-11+(ROW()/2-1)*5, 1))+45)</f>
        <v>60</v>
      </c>
      <c r="P8" s="26">
        <f>IF($I$5="&lt;&lt; view card &gt;&gt;", "", HEX2DEC(MID(INDEX(list_of_cards!$B:$B, MATCH($I$5, list_of_cards!$A:$A)), COLUMN()-11+(ROW()/2-1)*5, 1))+60)</f>
        <v>69</v>
      </c>
      <c r="Q8" s="4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</row>
    <row r="9" spans="1:32" ht="18.75" customHeight="1" x14ac:dyDescent="0.3">
      <c r="A9" s="13">
        <v>8</v>
      </c>
      <c r="B9" s="13">
        <v>23</v>
      </c>
      <c r="C9" s="13">
        <v>38</v>
      </c>
      <c r="D9" s="13">
        <v>53</v>
      </c>
      <c r="E9" s="13">
        <v>68</v>
      </c>
      <c r="F9" s="4"/>
      <c r="G9" s="3"/>
      <c r="H9" s="3"/>
      <c r="I9" s="3"/>
      <c r="J9" s="3"/>
      <c r="K9" s="8"/>
      <c r="L9" s="25"/>
      <c r="M9" s="1"/>
      <c r="N9" s="1"/>
      <c r="O9" s="1"/>
      <c r="P9" s="26"/>
      <c r="Q9" s="4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 ht="18.75" customHeight="1" x14ac:dyDescent="0.3">
      <c r="A10" s="13">
        <v>9</v>
      </c>
      <c r="B10" s="13">
        <v>24</v>
      </c>
      <c r="C10" s="13">
        <v>39</v>
      </c>
      <c r="D10" s="13">
        <v>54</v>
      </c>
      <c r="E10" s="13">
        <v>69</v>
      </c>
      <c r="F10" s="4"/>
      <c r="G10" s="3"/>
      <c r="H10" s="3"/>
      <c r="I10" s="3"/>
      <c r="J10" s="3"/>
      <c r="K10" s="8"/>
      <c r="L10" s="25">
        <f>IF($I$5="&lt;&lt; view card &gt;&gt;", "", HEX2DEC(MID(INDEX(list_of_cards!$B:$B, MATCH($I$5, list_of_cards!$A:$A)), COLUMN()-11+(ROW()/2-1)*5, 1)))</f>
        <v>15</v>
      </c>
      <c r="M10" s="1">
        <f>IF($I$5="&lt;&lt; view card &gt;&gt;", "", HEX2DEC(MID(INDEX(list_of_cards!$B:$B, MATCH($I$5, list_of_cards!$A:$A)), COLUMN()-11+(ROW()/2-1)*5, 1))+15)</f>
        <v>30</v>
      </c>
      <c r="N10" s="1">
        <f>IF($I$5="&lt;&lt; view card &gt;&gt;", "", HEX2DEC(MID(INDEX(list_of_cards!$B:$B, MATCH($I$5, list_of_cards!$A:$A)), COLUMN()-11+(ROW()/2-1)*5, 1))+30)</f>
        <v>44</v>
      </c>
      <c r="O10" s="1">
        <f>IF($I$5="&lt;&lt; view card &gt;&gt;", "", HEX2DEC(MID(INDEX(list_of_cards!$B:$B, MATCH($I$5, list_of_cards!$A:$A)), COLUMN()-11+(ROW()/2-1)*5, 1))+45)</f>
        <v>54</v>
      </c>
      <c r="P10" s="26">
        <f>IF($I$5="&lt;&lt; view card &gt;&gt;", "", HEX2DEC(MID(INDEX(list_of_cards!$B:$B, MATCH($I$5, list_of_cards!$A:$A)), COLUMN()-11+(ROW()/2-1)*5, 1))+60)</f>
        <v>68</v>
      </c>
      <c r="Q10" s="4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</row>
    <row r="11" spans="1:32" ht="18.75" customHeight="1" thickBot="1" x14ac:dyDescent="0.35">
      <c r="A11" s="13">
        <v>10</v>
      </c>
      <c r="B11" s="13">
        <v>25</v>
      </c>
      <c r="C11" s="13">
        <v>40</v>
      </c>
      <c r="D11" s="13">
        <v>55</v>
      </c>
      <c r="E11" s="13">
        <v>70</v>
      </c>
      <c r="F11" s="4"/>
      <c r="G11" s="3"/>
      <c r="H11" s="3"/>
      <c r="I11" s="3"/>
      <c r="J11" s="3"/>
      <c r="K11" s="8"/>
      <c r="L11" s="27"/>
      <c r="M11" s="28"/>
      <c r="N11" s="28"/>
      <c r="O11" s="28"/>
      <c r="P11" s="29"/>
      <c r="Q11" s="4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</row>
    <row r="12" spans="1:32" ht="18.75" x14ac:dyDescent="0.3">
      <c r="A12" s="13">
        <v>11</v>
      </c>
      <c r="B12" s="13">
        <v>26</v>
      </c>
      <c r="C12" s="13">
        <v>41</v>
      </c>
      <c r="D12" s="13">
        <v>56</v>
      </c>
      <c r="E12" s="13">
        <v>71</v>
      </c>
      <c r="F12" s="4"/>
      <c r="G12" s="3"/>
      <c r="H12" s="3"/>
      <c r="I12" s="3"/>
      <c r="J12" s="3"/>
      <c r="K12" s="3"/>
      <c r="L12" s="5"/>
      <c r="M12" s="5"/>
      <c r="N12" s="5"/>
      <c r="O12" s="5"/>
      <c r="P12" s="5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 ht="18.75" x14ac:dyDescent="0.3">
      <c r="A13" s="13">
        <v>12</v>
      </c>
      <c r="B13" s="13">
        <v>27</v>
      </c>
      <c r="C13" s="13">
        <v>42</v>
      </c>
      <c r="D13" s="13">
        <v>57</v>
      </c>
      <c r="E13" s="13">
        <v>72</v>
      </c>
      <c r="F13" s="4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</row>
    <row r="14" spans="1:32" ht="18.75" x14ac:dyDescent="0.3">
      <c r="A14" s="13">
        <v>13</v>
      </c>
      <c r="B14" s="13">
        <v>28</v>
      </c>
      <c r="C14" s="13">
        <v>43</v>
      </c>
      <c r="D14" s="13">
        <v>58</v>
      </c>
      <c r="E14" s="13">
        <v>73</v>
      </c>
      <c r="F14" s="4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</row>
    <row r="15" spans="1:32" ht="18.75" x14ac:dyDescent="0.3">
      <c r="A15" s="13">
        <v>14</v>
      </c>
      <c r="B15" s="13">
        <v>29</v>
      </c>
      <c r="C15" s="13">
        <v>44</v>
      </c>
      <c r="D15" s="13">
        <v>59</v>
      </c>
      <c r="E15" s="13">
        <v>74</v>
      </c>
      <c r="F15" s="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</row>
    <row r="16" spans="1:32" ht="19.5" thickBot="1" x14ac:dyDescent="0.35">
      <c r="A16" s="14">
        <v>15</v>
      </c>
      <c r="B16" s="14">
        <v>30</v>
      </c>
      <c r="C16" s="14">
        <v>45</v>
      </c>
      <c r="D16" s="14">
        <v>60</v>
      </c>
      <c r="E16" s="14">
        <v>75</v>
      </c>
      <c r="F16" s="4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</row>
    <row r="17" spans="1:32" x14ac:dyDescent="0.25">
      <c r="A17" s="5"/>
      <c r="B17" s="5"/>
      <c r="C17" s="5"/>
      <c r="D17" s="5"/>
      <c r="E17" s="5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</row>
    <row r="18" spans="1:3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</row>
    <row r="19" spans="1:32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</row>
    <row r="22" spans="1:3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</row>
    <row r="23" spans="1:3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</row>
    <row r="24" spans="1:32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</row>
    <row r="25" spans="1:32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</row>
    <row r="26" spans="1:3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</row>
    <row r="27" spans="1:32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</row>
    <row r="28" spans="1:3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</row>
    <row r="29" spans="1:3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</row>
    <row r="30" spans="1:32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</row>
    <row r="31" spans="1:32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</row>
    <row r="32" spans="1:32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</row>
    <row r="33" spans="1:3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</row>
    <row r="34" spans="1:3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</row>
    <row r="35" spans="1:3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</row>
  </sheetData>
  <mergeCells count="27">
    <mergeCell ref="I5:J5"/>
    <mergeCell ref="L8:L9"/>
    <mergeCell ref="M8:M9"/>
    <mergeCell ref="N8:N9"/>
    <mergeCell ref="O8:O9"/>
    <mergeCell ref="P8:P9"/>
    <mergeCell ref="L10:L11"/>
    <mergeCell ref="M10:M11"/>
    <mergeCell ref="N10:N11"/>
    <mergeCell ref="O10:O11"/>
    <mergeCell ref="P10:P11"/>
    <mergeCell ref="L4:L5"/>
    <mergeCell ref="M4:M5"/>
    <mergeCell ref="N4:N5"/>
    <mergeCell ref="O4:O5"/>
    <mergeCell ref="P4:P5"/>
    <mergeCell ref="L6:L7"/>
    <mergeCell ref="M6:M7"/>
    <mergeCell ref="N6:N7"/>
    <mergeCell ref="O6:O7"/>
    <mergeCell ref="P6:P7"/>
    <mergeCell ref="G2:G3"/>
    <mergeCell ref="L2:L3"/>
    <mergeCell ref="M2:M3"/>
    <mergeCell ref="N2:N3"/>
    <mergeCell ref="O2:O3"/>
    <mergeCell ref="P2:P3"/>
  </mergeCells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8" r:id="rId4" name="ResetButton">
          <controlPr defaultSize="0" autoLine="0" r:id="rId5">
            <anchor moveWithCells="1">
              <from>
                <xdr:col>11</xdr:col>
                <xdr:colOff>476250</xdr:colOff>
                <xdr:row>12</xdr:row>
                <xdr:rowOff>152400</xdr:rowOff>
              </from>
              <to>
                <xdr:col>15</xdr:col>
                <xdr:colOff>76200</xdr:colOff>
                <xdr:row>14</xdr:row>
                <xdr:rowOff>133350</xdr:rowOff>
              </to>
            </anchor>
          </controlPr>
        </control>
      </mc:Choice>
      <mc:Fallback>
        <control shapeId="1028" r:id="rId4" name="ResetButton"/>
      </mc:Fallback>
    </mc:AlternateContent>
    <mc:AlternateContent xmlns:mc="http://schemas.openxmlformats.org/markup-compatibility/2006">
      <mc:Choice Requires="x14">
        <control shapeId="1027" r:id="rId6" name="DrawButton">
          <controlPr defaultSize="0" autoLine="0" r:id="rId7">
            <anchor moveWithCells="1">
              <from>
                <xdr:col>7</xdr:col>
                <xdr:colOff>447675</xdr:colOff>
                <xdr:row>0</xdr:row>
                <xdr:rowOff>171450</xdr:rowOff>
              </from>
              <to>
                <xdr:col>10</xdr:col>
                <xdr:colOff>190500</xdr:colOff>
                <xdr:row>2</xdr:row>
                <xdr:rowOff>180975</xdr:rowOff>
              </to>
            </anchor>
          </controlPr>
        </control>
      </mc:Choice>
      <mc:Fallback>
        <control shapeId="1027" r:id="rId6" name="Draw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B86D2A9D-54A0-4C2F-8410-F7CC3BAF89FC}">
            <xm:f>COUNTIF(calls!$B$2:$B$76, A2) &gt; 0</xm:f>
            <x14:dxf>
              <font>
                <b/>
                <i val="0"/>
              </font>
              <fill>
                <patternFill>
                  <bgColor rgb="FF92D050"/>
                </patternFill>
              </fill>
            </x14:dxf>
          </x14:cfRule>
          <xm:sqref>A2:E20</xm:sqref>
        </x14:conditionalFormatting>
        <x14:conditionalFormatting xmlns:xm="http://schemas.microsoft.com/office/excel/2006/main">
          <x14:cfRule type="expression" priority="1" id="{3FDC2379-B060-43EE-A8EE-81538707B8A9}">
            <xm:f>AND(COUNTIF(calls!$B$2:$B$76, L2) &gt; 0, NOT(L2 = ""))</xm:f>
            <x14:dxf>
              <font>
                <b/>
                <i/>
              </font>
              <fill>
                <patternFill>
                  <bgColor rgb="FFFF0000"/>
                </patternFill>
              </fill>
            </x14:dxf>
          </x14:cfRule>
          <xm:sqref>L2:P11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4D80C556-CD51-4091-9A90-596D9FC156D4}">
          <x14:formula1>
            <xm:f>list_of_cards!$A:$A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652D-E6ED-46A3-B7E9-54C415B76688}">
  <sheetPr codeName="Sheet2"/>
  <dimension ref="A1:BW76"/>
  <sheetViews>
    <sheetView workbookViewId="0">
      <selection activeCell="B23" sqref="B23"/>
    </sheetView>
  </sheetViews>
  <sheetFormatPr defaultRowHeight="15" x14ac:dyDescent="0.25"/>
  <sheetData>
    <row r="1" spans="1:75" x14ac:dyDescent="0.25">
      <c r="A1" t="s">
        <v>0</v>
      </c>
      <c r="B1" t="s">
        <v>1</v>
      </c>
      <c r="C1" t="s">
        <v>7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</row>
    <row r="2" spans="1:75" x14ac:dyDescent="0.25">
      <c r="A2">
        <v>1</v>
      </c>
      <c r="B2">
        <v>6</v>
      </c>
      <c r="C2">
        <v>65</v>
      </c>
    </row>
    <row r="3" spans="1:75" x14ac:dyDescent="0.25">
      <c r="A3">
        <v>2</v>
      </c>
      <c r="B3">
        <v>53</v>
      </c>
    </row>
    <row r="4" spans="1:75" x14ac:dyDescent="0.25">
      <c r="A4">
        <v>3</v>
      </c>
      <c r="B4">
        <v>16</v>
      </c>
    </row>
    <row r="5" spans="1:75" x14ac:dyDescent="0.25">
      <c r="A5">
        <v>4</v>
      </c>
      <c r="B5">
        <v>18</v>
      </c>
    </row>
    <row r="6" spans="1:75" x14ac:dyDescent="0.25">
      <c r="A6">
        <v>5</v>
      </c>
      <c r="B6">
        <v>46</v>
      </c>
    </row>
    <row r="7" spans="1:75" x14ac:dyDescent="0.25">
      <c r="A7">
        <v>75</v>
      </c>
      <c r="B7">
        <v>15</v>
      </c>
    </row>
    <row r="8" spans="1:75" x14ac:dyDescent="0.25">
      <c r="A8">
        <v>7</v>
      </c>
      <c r="B8">
        <v>13</v>
      </c>
    </row>
    <row r="9" spans="1:75" x14ac:dyDescent="0.25">
      <c r="A9">
        <v>8</v>
      </c>
      <c r="B9">
        <v>61</v>
      </c>
    </row>
    <row r="10" spans="1:75" x14ac:dyDescent="0.25">
      <c r="A10">
        <v>9</v>
      </c>
      <c r="B10">
        <v>71</v>
      </c>
    </row>
    <row r="11" spans="1:75" x14ac:dyDescent="0.25">
      <c r="A11">
        <v>10</v>
      </c>
      <c r="B11">
        <v>21</v>
      </c>
    </row>
    <row r="12" spans="1:75" x14ac:dyDescent="0.25">
      <c r="A12">
        <v>11</v>
      </c>
    </row>
    <row r="13" spans="1:75" x14ac:dyDescent="0.25">
      <c r="A13">
        <v>12</v>
      </c>
    </row>
    <row r="14" spans="1:75" x14ac:dyDescent="0.25">
      <c r="A14">
        <v>69</v>
      </c>
    </row>
    <row r="15" spans="1:75" x14ac:dyDescent="0.25">
      <c r="A15">
        <v>14</v>
      </c>
    </row>
    <row r="16" spans="1:75" x14ac:dyDescent="0.25">
      <c r="A16">
        <v>70</v>
      </c>
    </row>
    <row r="17" spans="1:1" x14ac:dyDescent="0.25">
      <c r="A17">
        <v>73</v>
      </c>
    </row>
    <row r="18" spans="1:1" x14ac:dyDescent="0.25">
      <c r="A18">
        <v>17</v>
      </c>
    </row>
    <row r="19" spans="1:1" x14ac:dyDescent="0.25">
      <c r="A19">
        <v>72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66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  <row r="42" spans="1:1" x14ac:dyDescent="0.25">
      <c r="A42">
        <v>41</v>
      </c>
    </row>
    <row r="43" spans="1:1" x14ac:dyDescent="0.25">
      <c r="A43">
        <v>42</v>
      </c>
    </row>
    <row r="44" spans="1:1" x14ac:dyDescent="0.25">
      <c r="A44">
        <v>43</v>
      </c>
    </row>
    <row r="45" spans="1:1" x14ac:dyDescent="0.25">
      <c r="A45">
        <v>44</v>
      </c>
    </row>
    <row r="46" spans="1:1" x14ac:dyDescent="0.25">
      <c r="A46">
        <v>45</v>
      </c>
    </row>
    <row r="47" spans="1:1" x14ac:dyDescent="0.25">
      <c r="A47">
        <v>67</v>
      </c>
    </row>
    <row r="48" spans="1:1" x14ac:dyDescent="0.25">
      <c r="A48">
        <v>47</v>
      </c>
    </row>
    <row r="49" spans="1:1" x14ac:dyDescent="0.25">
      <c r="A49">
        <v>48</v>
      </c>
    </row>
    <row r="50" spans="1:1" x14ac:dyDescent="0.25">
      <c r="A50">
        <v>49</v>
      </c>
    </row>
    <row r="51" spans="1:1" x14ac:dyDescent="0.25">
      <c r="A51">
        <v>50</v>
      </c>
    </row>
    <row r="52" spans="1:1" x14ac:dyDescent="0.25">
      <c r="A52">
        <v>51</v>
      </c>
    </row>
    <row r="53" spans="1:1" x14ac:dyDescent="0.25">
      <c r="A53">
        <v>52</v>
      </c>
    </row>
    <row r="54" spans="1:1" x14ac:dyDescent="0.25">
      <c r="A54">
        <v>74</v>
      </c>
    </row>
    <row r="55" spans="1:1" x14ac:dyDescent="0.25">
      <c r="A55">
        <v>54</v>
      </c>
    </row>
    <row r="56" spans="1:1" x14ac:dyDescent="0.25">
      <c r="A56">
        <v>55</v>
      </c>
    </row>
    <row r="57" spans="1:1" x14ac:dyDescent="0.25">
      <c r="A57">
        <v>56</v>
      </c>
    </row>
    <row r="58" spans="1:1" x14ac:dyDescent="0.25">
      <c r="A58">
        <v>57</v>
      </c>
    </row>
    <row r="59" spans="1:1" x14ac:dyDescent="0.25">
      <c r="A59">
        <v>58</v>
      </c>
    </row>
    <row r="60" spans="1:1" x14ac:dyDescent="0.25">
      <c r="A60">
        <v>59</v>
      </c>
    </row>
    <row r="61" spans="1:1" x14ac:dyDescent="0.25">
      <c r="A61">
        <v>60</v>
      </c>
    </row>
    <row r="62" spans="1:1" x14ac:dyDescent="0.25">
      <c r="A62">
        <v>68</v>
      </c>
    </row>
    <row r="63" spans="1:1" x14ac:dyDescent="0.25">
      <c r="A63">
        <v>62</v>
      </c>
    </row>
    <row r="64" spans="1:1" x14ac:dyDescent="0.25">
      <c r="A64">
        <v>63</v>
      </c>
    </row>
    <row r="65" spans="1:1" x14ac:dyDescent="0.25">
      <c r="A65">
        <v>64</v>
      </c>
    </row>
    <row r="66" spans="1:1" x14ac:dyDescent="0.25">
      <c r="A66">
        <v>65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E8A6A-2D76-41F1-BE91-F789F35A4371}">
  <sheetPr codeName="Sheet4"/>
  <dimension ref="A1:B3"/>
  <sheetViews>
    <sheetView workbookViewId="0">
      <selection activeCell="B3" sqref="B3"/>
    </sheetView>
  </sheetViews>
  <sheetFormatPr defaultRowHeight="15" x14ac:dyDescent="0.25"/>
  <sheetData>
    <row r="1" spans="1:2" x14ac:dyDescent="0.25">
      <c r="A1" t="s">
        <v>10</v>
      </c>
    </row>
    <row r="2" spans="1:2" x14ac:dyDescent="0.25">
      <c r="A2" t="s">
        <v>13</v>
      </c>
      <c r="B2" t="s">
        <v>12</v>
      </c>
    </row>
    <row r="3" spans="1:2" x14ac:dyDescent="0.25">
      <c r="A3" t="s">
        <v>14</v>
      </c>
      <c r="B3" t="s">
        <v>15</v>
      </c>
    </row>
  </sheetData>
  <phoneticPr fontId="6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calls</vt:lpstr>
      <vt:lpstr>list_of_cards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Capobianco</dc:creator>
  <cp:lastModifiedBy>Michael Capobianco</cp:lastModifiedBy>
  <dcterms:created xsi:type="dcterms:W3CDTF">2020-12-04T01:10:40Z</dcterms:created>
  <dcterms:modified xsi:type="dcterms:W3CDTF">2020-12-05T18:30:46Z</dcterms:modified>
</cp:coreProperties>
</file>